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anhaha/Documents/MS ADS/ML 1/ML1 Final Project/Airbnb-Renting-Optimizer/data_processed/data_dictionary/"/>
    </mc:Choice>
  </mc:AlternateContent>
  <xr:revisionPtr revIDLastSave="0" documentId="13_ncr:1_{EDA651D0-D579-394B-B83C-3EAE2376E384}" xr6:coauthVersionLast="47" xr6:coauthVersionMax="47" xr10:uidLastSave="{00000000-0000-0000-0000-000000000000}"/>
  <bookViews>
    <workbookView xWindow="1100" yWindow="820" windowWidth="15420" windowHeight="17440" xr2:uid="{AAE54146-14CE-DA46-9108-4929B15C737B}"/>
  </bookViews>
  <sheets>
    <sheet name="Features" sheetId="3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3" l="1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3" i="3"/>
  <c r="C22" i="3"/>
  <c r="C21" i="3"/>
  <c r="C20" i="3"/>
  <c r="C19" i="3"/>
  <c r="C9" i="3"/>
  <c r="C6" i="3"/>
  <c r="C5" i="3"/>
  <c r="C4" i="3"/>
  <c r="C3" i="3"/>
  <c r="C7" i="3"/>
  <c r="C8" i="3"/>
  <c r="C10" i="3"/>
  <c r="C11" i="3"/>
  <c r="C12" i="3"/>
  <c r="C13" i="3"/>
  <c r="C14" i="3"/>
  <c r="C15" i="3"/>
  <c r="C16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B7" i="3"/>
  <c r="B8" i="3"/>
  <c r="B10" i="3"/>
  <c r="B11" i="3"/>
  <c r="B12" i="3"/>
  <c r="B13" i="3"/>
  <c r="B14" i="3"/>
  <c r="B15" i="3"/>
  <c r="B16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</calcChain>
</file>

<file path=xl/sharedStrings.xml><?xml version="1.0" encoding="utf-8"?>
<sst xmlns="http://schemas.openxmlformats.org/spreadsheetml/2006/main" count="163" uniqueCount="109">
  <si>
    <t>listing_id</t>
  </si>
  <si>
    <t>price</t>
  </si>
  <si>
    <t>accommodates</t>
  </si>
  <si>
    <t>bedrooms</t>
  </si>
  <si>
    <t>bathrooms</t>
  </si>
  <si>
    <t>room_type</t>
  </si>
  <si>
    <t>property_type</t>
  </si>
  <si>
    <t>review_scores_rating</t>
  </si>
  <si>
    <t>occupancy_proxy</t>
  </si>
  <si>
    <t>weekend_occupancy_proxy</t>
  </si>
  <si>
    <t>summer_occupancy_proxy</t>
  </si>
  <si>
    <t>winter_occupancy_proxy</t>
  </si>
  <si>
    <t>total_review_count</t>
  </si>
  <si>
    <t>recent_review_count</t>
  </si>
  <si>
    <t>avg_review_length</t>
  </si>
  <si>
    <t>estimated_annual_revenue</t>
  </si>
  <si>
    <t>log_revenue</t>
  </si>
  <si>
    <t>host_is_superhost</t>
  </si>
  <si>
    <t>host_listings_count</t>
  </si>
  <si>
    <t>host_total_listings_count</t>
  </si>
  <si>
    <t>host_has_profile_pic</t>
  </si>
  <si>
    <t>host_identity_verified</t>
  </si>
  <si>
    <t>neighbourhood_cleansed</t>
  </si>
  <si>
    <t>latitude</t>
  </si>
  <si>
    <t>longitude</t>
  </si>
  <si>
    <t>beds</t>
  </si>
  <si>
    <t>minimum_nights</t>
  </si>
  <si>
    <t>maximum_nights</t>
  </si>
  <si>
    <t>has_availability</t>
  </si>
  <si>
    <t>availability_30</t>
  </si>
  <si>
    <t>availability_365</t>
  </si>
  <si>
    <t>number_of_reviews</t>
  </si>
  <si>
    <t>number_of_reviews_ltm</t>
  </si>
  <si>
    <t>number_of_reviews_l30d</t>
  </si>
  <si>
    <t>number_of_reviews_ly</t>
  </si>
  <si>
    <t>review_scores_accuracy</t>
  </si>
  <si>
    <t>review_scores_cleanliness</t>
  </si>
  <si>
    <t>review_scores_checkin</t>
  </si>
  <si>
    <t>review_scores_communication</t>
  </si>
  <si>
    <t>review_scores_location</t>
  </si>
  <si>
    <t>review_scores_value</t>
  </si>
  <si>
    <t>instant_bookable</t>
  </si>
  <si>
    <t>calculated_host_listings_count</t>
  </si>
  <si>
    <t>reviews_per_month</t>
  </si>
  <si>
    <t>room_type_Hotel room</t>
  </si>
  <si>
    <t>room_type_Private room</t>
  </si>
  <si>
    <t>room_type_Shared room</t>
  </si>
  <si>
    <t>property_type_clean_Entire home</t>
  </si>
  <si>
    <t>property_type_clean_Entire rental unit</t>
  </si>
  <si>
    <t>property_type_clean_Other</t>
  </si>
  <si>
    <t>property_type_clean_Private room in home</t>
  </si>
  <si>
    <t>property_type_clean_Private room in rental unit</t>
  </si>
  <si>
    <t>Amenity_PCA_1</t>
  </si>
  <si>
    <t>Amenity_PCA_2</t>
  </si>
  <si>
    <t>Amenity_PCA_3</t>
  </si>
  <si>
    <t>Amenity_PCA_4</t>
  </si>
  <si>
    <t>Amenity_PCA_5</t>
  </si>
  <si>
    <t>Cluster_ID</t>
  </si>
  <si>
    <t>dist_navy_pier_miles</t>
  </si>
  <si>
    <t>is_landmark_proximate</t>
  </si>
  <si>
    <t>transit_north_premium</t>
  </si>
  <si>
    <t>is_premium_transit_hub</t>
  </si>
  <si>
    <t>shoreline_gravity</t>
  </si>
  <si>
    <t>dist_to_nearest_beach_miles</t>
  </si>
  <si>
    <t>crime_density_total</t>
  </si>
  <si>
    <t>nb_homicides_half_mile</t>
  </si>
  <si>
    <t>neigh_log_competition</t>
  </si>
  <si>
    <t>neigh_price_index</t>
  </si>
  <si>
    <t>price_vs_neigh_median</t>
  </si>
  <si>
    <t>distance_to_downtown_km</t>
  </si>
  <si>
    <t>neigh_avg_occ</t>
  </si>
  <si>
    <t>topic_0</t>
  </si>
  <si>
    <t>topic_1</t>
  </si>
  <si>
    <t>topic_2</t>
  </si>
  <si>
    <t>topic_3</t>
  </si>
  <si>
    <t>topic_4</t>
  </si>
  <si>
    <t>topic_5</t>
  </si>
  <si>
    <t>topic_6</t>
  </si>
  <si>
    <t>topic_7</t>
  </si>
  <si>
    <t>location_quality</t>
  </si>
  <si>
    <t>amenities_quality</t>
  </si>
  <si>
    <t>parking</t>
  </si>
  <si>
    <t>property_interior</t>
  </si>
  <si>
    <t>sleep_comfort</t>
  </si>
  <si>
    <t>overall_experience</t>
  </si>
  <si>
    <t>accessibility</t>
  </si>
  <si>
    <t>hotel_like_experience</t>
  </si>
  <si>
    <t>Kitchen &amp; bathroom amenities</t>
  </si>
  <si>
    <t>Feature</t>
  </si>
  <si>
    <t>Data Type</t>
  </si>
  <si>
    <t>Description</t>
  </si>
  <si>
    <t>float</t>
  </si>
  <si>
    <t>string</t>
  </si>
  <si>
    <t>int</t>
  </si>
  <si>
    <t>binary</t>
  </si>
  <si>
    <t>Unique Airbnb listing identifier</t>
  </si>
  <si>
    <t>Revenue proxy computed as price × occupancy_proxy × 365</t>
  </si>
  <si>
    <t>Log-transformed annual revenue</t>
  </si>
  <si>
    <t>Latitude coordinate of listing</t>
  </si>
  <si>
    <t>Cleaned neighborhood name</t>
  </si>
  <si>
    <t>Longitude coordinate of listing</t>
  </si>
  <si>
    <t>Listing-extracted theme: Convenience &amp; parking</t>
  </si>
  <si>
    <t>Listing-extracted theme: Walkable neighborhood</t>
  </si>
  <si>
    <t>Listing-extracted theme: Furnished corporate/luxury units</t>
  </si>
  <si>
    <t>Listing-extracted theme: Downtown tourist access</t>
  </si>
  <si>
    <t>Listing-extracted theme: Private space &amp; layout</t>
  </si>
  <si>
    <t>Listing-extracted theme: Marketing vibe language</t>
  </si>
  <si>
    <t>Listing-extracted theme: Serviced living suites</t>
  </si>
  <si>
    <t>Review-extracted 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</si>
</sst>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tanhaha/Documents/MS%20ADS/ML%201/ML1%20Final%20Project/Airbnb-Renting-Optimizer/data_processed/data_dictionary/data_dictionary_v3.xlsx" TargetMode="External"/><Relationship Id="rId1" Type="http://schemas.openxmlformats.org/officeDocument/2006/relationships/externalLinkPath" Target="data_dictionary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entifier"/>
      <sheetName val="Target"/>
      <sheetName val="Structured Features"/>
      <sheetName val="Engineered Features"/>
    </sheetNames>
    <sheetDataSet>
      <sheetData sheetId="0"/>
      <sheetData sheetId="1"/>
      <sheetData sheetId="2">
        <row r="1">
          <cell r="A1" t="str">
            <v>feature_name</v>
          </cell>
          <cell r="B1" t="str">
            <v>data_type</v>
          </cell>
          <cell r="C1" t="str">
            <v>source</v>
          </cell>
          <cell r="D1" t="str">
            <v>layer</v>
          </cell>
          <cell r="E1" t="str">
            <v>description</v>
          </cell>
        </row>
        <row r="2">
          <cell r="A2" t="str">
            <v>price</v>
          </cell>
          <cell r="B2" t="str">
            <v>float</v>
          </cell>
          <cell r="C2" t="str">
            <v>listings.csv.gz</v>
          </cell>
          <cell r="D2" t="str">
            <v>structured</v>
          </cell>
          <cell r="E2" t="str">
            <v>Nightly listing price (USD)</v>
          </cell>
        </row>
        <row r="3">
          <cell r="A3" t="str">
            <v>accommodates</v>
          </cell>
          <cell r="B3" t="str">
            <v>int</v>
          </cell>
          <cell r="C3" t="str">
            <v>listings.csv.gz</v>
          </cell>
          <cell r="D3" t="str">
            <v>structured</v>
          </cell>
          <cell r="E3" t="str">
            <v>Maximum guest capacity</v>
          </cell>
        </row>
        <row r="4">
          <cell r="A4" t="str">
            <v>bedrooms</v>
          </cell>
          <cell r="B4" t="str">
            <v>float</v>
          </cell>
          <cell r="C4" t="str">
            <v>listings.csv.gz</v>
          </cell>
          <cell r="D4" t="str">
            <v>structured</v>
          </cell>
          <cell r="E4" t="str">
            <v>Number of bedrooms</v>
          </cell>
        </row>
        <row r="5">
          <cell r="A5" t="str">
            <v>bathrooms</v>
          </cell>
          <cell r="B5" t="str">
            <v>float</v>
          </cell>
          <cell r="C5" t="str">
            <v>listings.csv.gz</v>
          </cell>
          <cell r="D5" t="str">
            <v>structured</v>
          </cell>
          <cell r="E5" t="str">
            <v>Number of bathrooms</v>
          </cell>
        </row>
        <row r="6">
          <cell r="A6" t="str">
            <v>beds</v>
          </cell>
          <cell r="B6" t="str">
            <v>float</v>
          </cell>
          <cell r="C6" t="str">
            <v>listings.csv.gz</v>
          </cell>
          <cell r="D6" t="str">
            <v>structured</v>
          </cell>
          <cell r="E6" t="str">
            <v>Number of beds</v>
          </cell>
        </row>
        <row r="7">
          <cell r="A7" t="str">
            <v>minimum_nights</v>
          </cell>
          <cell r="B7" t="str">
            <v>int</v>
          </cell>
          <cell r="C7" t="str">
            <v>listings.csv.gz</v>
          </cell>
          <cell r="D7" t="str">
            <v>structured</v>
          </cell>
          <cell r="E7" t="str">
            <v>Minimum nights per booking</v>
          </cell>
        </row>
        <row r="8">
          <cell r="A8" t="str">
            <v>maximum_nights</v>
          </cell>
          <cell r="B8" t="str">
            <v>int</v>
          </cell>
          <cell r="C8" t="str">
            <v>listings.csv.gz</v>
          </cell>
          <cell r="D8" t="str">
            <v>structured</v>
          </cell>
          <cell r="E8" t="str">
            <v>Maximum nights per booking</v>
          </cell>
        </row>
        <row r="9">
          <cell r="A9" t="str">
            <v>has_availability</v>
          </cell>
          <cell r="B9" t="str">
            <v>binary</v>
          </cell>
          <cell r="C9" t="str">
            <v>listings.csv.gz</v>
          </cell>
          <cell r="D9" t="str">
            <v>structured</v>
          </cell>
          <cell r="E9" t="str">
            <v>Whether listing has open availability</v>
          </cell>
        </row>
        <row r="10">
          <cell r="A10" t="str">
            <v>availability_30</v>
          </cell>
          <cell r="B10" t="str">
            <v>int</v>
          </cell>
          <cell r="C10" t="str">
            <v>listings.csv.gz</v>
          </cell>
          <cell r="D10" t="str">
            <v>structured</v>
          </cell>
          <cell r="E10" t="str">
            <v>Available days next 30 days</v>
          </cell>
        </row>
        <row r="11">
          <cell r="A11" t="str">
            <v>availability_365</v>
          </cell>
          <cell r="B11" t="str">
            <v>int</v>
          </cell>
          <cell r="C11" t="str">
            <v>listings.csv.gz</v>
          </cell>
          <cell r="D11" t="str">
            <v>structured</v>
          </cell>
          <cell r="E11" t="str">
            <v>Available days next 365 days</v>
          </cell>
        </row>
        <row r="12">
          <cell r="A12" t="str">
            <v>number_of_reviews</v>
          </cell>
          <cell r="B12" t="str">
            <v>int</v>
          </cell>
          <cell r="C12" t="str">
            <v>listings.csv.gz</v>
          </cell>
          <cell r="D12" t="str">
            <v>structured</v>
          </cell>
          <cell r="E12" t="str">
            <v>Total reviews (snapshot)</v>
          </cell>
        </row>
        <row r="13">
          <cell r="A13" t="str">
            <v>number_of_reviews_ltm</v>
          </cell>
          <cell r="B13" t="str">
            <v>int</v>
          </cell>
          <cell r="C13" t="str">
            <v>listings.csv.gz</v>
          </cell>
          <cell r="D13" t="str">
            <v>structured</v>
          </cell>
          <cell r="E13" t="str">
            <v>Reviews last 12 months</v>
          </cell>
        </row>
        <row r="14">
          <cell r="A14" t="str">
            <v>number_of_reviews_l30d</v>
          </cell>
          <cell r="B14" t="str">
            <v>int</v>
          </cell>
          <cell r="C14" t="str">
            <v>listings.csv.gz</v>
          </cell>
          <cell r="D14" t="str">
            <v>structured</v>
          </cell>
          <cell r="E14" t="str">
            <v>Reviews last 30 days</v>
          </cell>
        </row>
        <row r="15">
          <cell r="A15" t="str">
            <v>number_of_reviews_ly</v>
          </cell>
          <cell r="B15" t="str">
            <v>int</v>
          </cell>
          <cell r="C15" t="str">
            <v>listings.csv.gz</v>
          </cell>
          <cell r="D15" t="str">
            <v>structured</v>
          </cell>
          <cell r="E15" t="str">
            <v>Reviews last year</v>
          </cell>
        </row>
        <row r="16">
          <cell r="A16" t="str">
            <v>reviews_per_month</v>
          </cell>
          <cell r="B16" t="str">
            <v>float</v>
          </cell>
          <cell r="C16" t="str">
            <v>listings.csv.gz</v>
          </cell>
          <cell r="D16" t="str">
            <v>structured</v>
          </cell>
          <cell r="E16" t="str">
            <v>Avg reviews per month</v>
          </cell>
        </row>
        <row r="17">
          <cell r="A17" t="str">
            <v>review_scores_rating</v>
          </cell>
          <cell r="B17" t="str">
            <v>float</v>
          </cell>
          <cell r="C17" t="str">
            <v>listings.csv.gz</v>
          </cell>
          <cell r="D17" t="str">
            <v>structured</v>
          </cell>
          <cell r="E17" t="str">
            <v>Overall guest rating</v>
          </cell>
        </row>
        <row r="18">
          <cell r="A18" t="str">
            <v>review_scores_accuracy</v>
          </cell>
          <cell r="B18" t="str">
            <v>float</v>
          </cell>
          <cell r="C18" t="str">
            <v>listings.csv.gz</v>
          </cell>
          <cell r="D18" t="str">
            <v>structured</v>
          </cell>
          <cell r="E18" t="str">
            <v>Accuracy rating</v>
          </cell>
        </row>
        <row r="19">
          <cell r="A19" t="str">
            <v>review_scores_cleanliness</v>
          </cell>
          <cell r="B19" t="str">
            <v>float</v>
          </cell>
          <cell r="C19" t="str">
            <v>listings.csv.gz</v>
          </cell>
          <cell r="D19" t="str">
            <v>structured</v>
          </cell>
          <cell r="E19" t="str">
            <v>Cleanliness rating</v>
          </cell>
        </row>
        <row r="20">
          <cell r="A20" t="str">
            <v>review_scores_checkin</v>
          </cell>
          <cell r="B20" t="str">
            <v>float</v>
          </cell>
          <cell r="C20" t="str">
            <v>listings.csv.gz</v>
          </cell>
          <cell r="D20" t="str">
            <v>structured</v>
          </cell>
          <cell r="E20" t="str">
            <v>Check-in rating</v>
          </cell>
        </row>
        <row r="21">
          <cell r="A21" t="str">
            <v>review_scores_communication</v>
          </cell>
          <cell r="B21" t="str">
            <v>float</v>
          </cell>
          <cell r="C21" t="str">
            <v>listings.csv.gz</v>
          </cell>
          <cell r="D21" t="str">
            <v>structured</v>
          </cell>
          <cell r="E21" t="str">
            <v>Communication rating</v>
          </cell>
        </row>
        <row r="22">
          <cell r="A22" t="str">
            <v>review_scores_location</v>
          </cell>
          <cell r="B22" t="str">
            <v>float</v>
          </cell>
          <cell r="C22" t="str">
            <v>listings.csv.gz</v>
          </cell>
          <cell r="D22" t="str">
            <v>structured</v>
          </cell>
          <cell r="E22" t="str">
            <v>Location rating</v>
          </cell>
        </row>
        <row r="23">
          <cell r="A23" t="str">
            <v>review_scores_value</v>
          </cell>
          <cell r="B23" t="str">
            <v>float</v>
          </cell>
          <cell r="C23" t="str">
            <v>listings.csv.gz</v>
          </cell>
          <cell r="D23" t="str">
            <v>structured</v>
          </cell>
          <cell r="E23" t="str">
            <v>Value rating</v>
          </cell>
        </row>
        <row r="24">
          <cell r="A24" t="str">
            <v>host_is_superhost</v>
          </cell>
          <cell r="B24" t="str">
            <v>binary</v>
          </cell>
          <cell r="C24" t="str">
            <v>listings.csv.gz</v>
          </cell>
          <cell r="D24" t="str">
            <v>structured</v>
          </cell>
          <cell r="E24" t="str">
            <v>Host has Superhost status</v>
          </cell>
        </row>
        <row r="25">
          <cell r="A25" t="str">
            <v>host_listings_count</v>
          </cell>
          <cell r="B25" t="str">
            <v>int</v>
          </cell>
          <cell r="C25" t="str">
            <v>listings.csv.gz</v>
          </cell>
          <cell r="D25" t="str">
            <v>structured</v>
          </cell>
          <cell r="E25" t="str">
            <v>Active listings by host</v>
          </cell>
        </row>
        <row r="26">
          <cell r="A26" t="str">
            <v>host_total_listings_count</v>
          </cell>
          <cell r="B26" t="str">
            <v>int</v>
          </cell>
          <cell r="C26" t="str">
            <v>listings.csv.gz</v>
          </cell>
          <cell r="D26" t="str">
            <v>structured</v>
          </cell>
          <cell r="E26" t="str">
            <v>Total listings historically</v>
          </cell>
        </row>
        <row r="27">
          <cell r="A27" t="str">
            <v>host_has_profile_pic</v>
          </cell>
          <cell r="B27" t="str">
            <v>binary</v>
          </cell>
          <cell r="C27" t="str">
            <v>listings.csv.gz</v>
          </cell>
          <cell r="D27" t="str">
            <v>structured</v>
          </cell>
          <cell r="E27" t="str">
            <v>Host profile picture present</v>
          </cell>
        </row>
        <row r="28">
          <cell r="A28" t="str">
            <v>host_identity_verified</v>
          </cell>
          <cell r="B28" t="str">
            <v>binary</v>
          </cell>
          <cell r="C28" t="str">
            <v>listings.csv.gz</v>
          </cell>
          <cell r="D28" t="str">
            <v>structured</v>
          </cell>
          <cell r="E28" t="str">
            <v>Host identity verified</v>
          </cell>
        </row>
        <row r="29">
          <cell r="A29" t="str">
            <v>instant_bookable</v>
          </cell>
          <cell r="B29" t="str">
            <v>binary</v>
          </cell>
          <cell r="C29" t="str">
            <v>listings.csv.gz</v>
          </cell>
          <cell r="D29" t="str">
            <v>structured</v>
          </cell>
          <cell r="E29" t="str">
            <v>Instant booking available</v>
          </cell>
        </row>
        <row r="30">
          <cell r="A30" t="str">
            <v>calculated_host_listings_count</v>
          </cell>
          <cell r="B30" t="str">
            <v>int</v>
          </cell>
          <cell r="C30" t="str">
            <v>listings.csv.gz</v>
          </cell>
          <cell r="D30" t="str">
            <v>structured</v>
          </cell>
          <cell r="E30" t="str">
            <v>Calculated listing count per host</v>
          </cell>
        </row>
      </sheetData>
      <sheetData sheetId="3">
        <row r="1">
          <cell r="A1" t="str">
            <v>feature_name</v>
          </cell>
          <cell r="B1" t="str">
            <v>data_type</v>
          </cell>
          <cell r="C1" t="str">
            <v>source</v>
          </cell>
          <cell r="D1" t="str">
            <v>layer</v>
          </cell>
          <cell r="E1" t="str">
            <v>description</v>
          </cell>
        </row>
        <row r="2">
          <cell r="A2" t="str">
            <v>occupancy_proxy</v>
          </cell>
          <cell r="B2" t="str">
            <v>float</v>
          </cell>
          <cell r="C2" t="str">
            <v>calendar.csv.gz</v>
          </cell>
          <cell r="D2" t="str">
            <v>behavioral_engineered</v>
          </cell>
          <cell r="E2" t="str">
            <v>Proxy occupancy rate from availability</v>
          </cell>
        </row>
        <row r="3">
          <cell r="A3" t="str">
            <v>weekend_occupancy_proxy</v>
          </cell>
          <cell r="B3" t="str">
            <v>float</v>
          </cell>
          <cell r="C3" t="str">
            <v>calendar.csv.gz</v>
          </cell>
          <cell r="D3" t="str">
            <v>behavioral_engineered</v>
          </cell>
          <cell r="E3" t="str">
            <v>Weekend occupancy proxy</v>
          </cell>
        </row>
        <row r="4">
          <cell r="A4" t="str">
            <v>summer_occupancy_proxy</v>
          </cell>
          <cell r="B4" t="str">
            <v>float</v>
          </cell>
          <cell r="C4" t="str">
            <v>calendar.csv.gz</v>
          </cell>
          <cell r="D4" t="str">
            <v>behavioral_engineered</v>
          </cell>
          <cell r="E4" t="str">
            <v>Summer occupancy proxy</v>
          </cell>
        </row>
        <row r="5">
          <cell r="A5" t="str">
            <v>winter_occupancy_proxy</v>
          </cell>
          <cell r="B5" t="str">
            <v>float</v>
          </cell>
          <cell r="C5" t="str">
            <v>calendar.csv.gz</v>
          </cell>
          <cell r="D5" t="str">
            <v>behavioral_engineered</v>
          </cell>
          <cell r="E5" t="str">
            <v>Winter occupancy proxy</v>
          </cell>
        </row>
        <row r="6">
          <cell r="A6" t="str">
            <v>total_review_count</v>
          </cell>
          <cell r="B6" t="str">
            <v>int</v>
          </cell>
          <cell r="C6" t="str">
            <v>reviews.csv.gz</v>
          </cell>
          <cell r="D6" t="str">
            <v>engagement_engineered</v>
          </cell>
          <cell r="E6" t="str">
            <v>Total number of reviews</v>
          </cell>
        </row>
        <row r="7">
          <cell r="A7" t="str">
            <v>recent_review_count</v>
          </cell>
          <cell r="B7" t="str">
            <v>int</v>
          </cell>
          <cell r="C7" t="str">
            <v>reviews.csv.gz</v>
          </cell>
          <cell r="D7" t="str">
            <v>engagement_engineered</v>
          </cell>
          <cell r="E7" t="str">
            <v>Reviews in last 12 months</v>
          </cell>
        </row>
        <row r="8">
          <cell r="A8" t="str">
            <v>avg_review_length</v>
          </cell>
          <cell r="B8" t="str">
            <v>float</v>
          </cell>
          <cell r="C8" t="str">
            <v>reviews.csv.gz</v>
          </cell>
          <cell r="D8" t="str">
            <v>engagement_engineered</v>
          </cell>
          <cell r="E8" t="str">
            <v>Average character length of reviews</v>
          </cell>
        </row>
        <row r="9">
          <cell r="A9" t="str">
            <v>room_type</v>
          </cell>
          <cell r="B9" t="str">
            <v>string</v>
          </cell>
          <cell r="C9" t="str">
            <v>listings.csv.gz</v>
          </cell>
          <cell r="D9" t="str">
            <v>categorical_engineered</v>
          </cell>
          <cell r="E9" t="str">
            <v>Original Airbnb room type category</v>
          </cell>
        </row>
        <row r="10">
          <cell r="A10" t="str">
            <v>property_type</v>
          </cell>
          <cell r="B10" t="str">
            <v>string</v>
          </cell>
          <cell r="C10" t="str">
            <v>listings.csv.gz</v>
          </cell>
          <cell r="D10" t="str">
            <v>categorical_engineered</v>
          </cell>
          <cell r="E10" t="str">
            <v>Original Airbnb property type category</v>
          </cell>
        </row>
        <row r="11">
          <cell r="A11" t="str">
            <v>room_type_Hotel room</v>
          </cell>
          <cell r="B11" t="str">
            <v>binary</v>
          </cell>
          <cell r="C11" t="str">
            <v>listings.csv.gz</v>
          </cell>
          <cell r="D11" t="str">
            <v>categorical_engineered</v>
          </cell>
          <cell r="E11" t="str">
            <v>1 if listing is hotel room</v>
          </cell>
        </row>
        <row r="12">
          <cell r="A12" t="str">
            <v>room_type_Private room</v>
          </cell>
          <cell r="B12" t="str">
            <v>binary</v>
          </cell>
          <cell r="C12" t="str">
            <v>listings.csv.gz</v>
          </cell>
          <cell r="D12" t="str">
            <v>categorical_engineered</v>
          </cell>
          <cell r="E12" t="str">
            <v>1 if listing is private room</v>
          </cell>
        </row>
        <row r="13">
          <cell r="A13" t="str">
            <v>room_type_Shared room</v>
          </cell>
          <cell r="B13" t="str">
            <v>binary</v>
          </cell>
          <cell r="C13" t="str">
            <v>listings.csv.gz</v>
          </cell>
          <cell r="D13" t="str">
            <v>categorical_engineered</v>
          </cell>
          <cell r="E13" t="str">
            <v>1 if listing is shared room</v>
          </cell>
        </row>
        <row r="14">
          <cell r="A14" t="str">
            <v>property_type_clean_Entire home</v>
          </cell>
          <cell r="B14" t="str">
            <v>binary</v>
          </cell>
          <cell r="C14" t="str">
            <v>listings.csv.gz</v>
          </cell>
          <cell r="D14" t="str">
            <v>categorical_engineered</v>
          </cell>
          <cell r="E14" t="str">
            <v>1 if listing is entire home</v>
          </cell>
        </row>
        <row r="15">
          <cell r="A15" t="str">
            <v>property_type_clean_Entire rental unit</v>
          </cell>
          <cell r="B15" t="str">
            <v>binary</v>
          </cell>
          <cell r="C15" t="str">
            <v>listings.csv.gz</v>
          </cell>
          <cell r="D15" t="str">
            <v>categorical_engineered</v>
          </cell>
          <cell r="E15" t="str">
            <v>1 if listing is entire rental unit</v>
          </cell>
        </row>
        <row r="16">
          <cell r="A16" t="str">
            <v>property_type_clean_Other</v>
          </cell>
          <cell r="B16" t="str">
            <v>binary</v>
          </cell>
          <cell r="C16" t="str">
            <v>listings.csv.gz</v>
          </cell>
          <cell r="D16" t="str">
            <v>categorical_engineered</v>
          </cell>
          <cell r="E16" t="str">
            <v>1 if listing is other property type</v>
          </cell>
        </row>
        <row r="17">
          <cell r="A17" t="str">
            <v>property_type_clean_Private room in home</v>
          </cell>
          <cell r="B17" t="str">
            <v>binary</v>
          </cell>
          <cell r="C17" t="str">
            <v>listings.csv.gz</v>
          </cell>
          <cell r="D17" t="str">
            <v>categorical_engineered</v>
          </cell>
          <cell r="E17" t="str">
            <v>1 if listing is private room in home</v>
          </cell>
        </row>
        <row r="18">
          <cell r="A18" t="str">
            <v>property_type_clean_Private room in rental unit</v>
          </cell>
          <cell r="B18" t="str">
            <v>binary</v>
          </cell>
          <cell r="C18" t="str">
            <v>listings.csv.gz</v>
          </cell>
          <cell r="D18" t="str">
            <v>categorical_engineered</v>
          </cell>
          <cell r="E18" t="str">
            <v>1 if listing is private room in rental unit</v>
          </cell>
        </row>
        <row r="19">
          <cell r="A19" t="str">
            <v>Amenity_PCA_1</v>
          </cell>
          <cell r="B19" t="str">
            <v>float</v>
          </cell>
          <cell r="C19" t="str">
            <v>engineered (PCA)</v>
          </cell>
          <cell r="D19" t="str">
            <v>amenity_engineered</v>
          </cell>
          <cell r="E19" t="str">
            <v>First principal component of amenity feature space</v>
          </cell>
        </row>
        <row r="20">
          <cell r="A20" t="str">
            <v>Amenity_PCA_2</v>
          </cell>
          <cell r="B20" t="str">
            <v>float</v>
          </cell>
          <cell r="C20" t="str">
            <v>engineered (PCA)</v>
          </cell>
          <cell r="D20" t="str">
            <v>amenity_engineered</v>
          </cell>
          <cell r="E20" t="str">
            <v>Second principal component of amenity feature space</v>
          </cell>
        </row>
        <row r="21">
          <cell r="A21" t="str">
            <v>Amenity_PCA_3</v>
          </cell>
          <cell r="B21" t="str">
            <v>float</v>
          </cell>
          <cell r="C21" t="str">
            <v>engineered (PCA)</v>
          </cell>
          <cell r="D21" t="str">
            <v>amenity_engineered</v>
          </cell>
          <cell r="E21" t="str">
            <v>Third principal component of amenity feature space</v>
          </cell>
        </row>
        <row r="22">
          <cell r="A22" t="str">
            <v>Amenity_PCA_4</v>
          </cell>
          <cell r="B22" t="str">
            <v>float</v>
          </cell>
          <cell r="C22" t="str">
            <v>engineered (PCA)</v>
          </cell>
          <cell r="D22" t="str">
            <v>amenity_engineered</v>
          </cell>
          <cell r="E22" t="str">
            <v>Fourth principal component of amenity feature space</v>
          </cell>
        </row>
        <row r="23">
          <cell r="A23" t="str">
            <v>Amenity_PCA_5</v>
          </cell>
          <cell r="B23" t="str">
            <v>float</v>
          </cell>
          <cell r="C23" t="str">
            <v>engineered (PCA)</v>
          </cell>
          <cell r="D23" t="str">
            <v>amenity_engineered</v>
          </cell>
          <cell r="E23" t="str">
            <v>Fifth principal component of amenity feature space</v>
          </cell>
        </row>
        <row r="24">
          <cell r="A24" t="str">
            <v>Cluster_ID</v>
          </cell>
          <cell r="B24" t="str">
            <v>int</v>
          </cell>
          <cell r="C24" t="str">
            <v>engineered (KMeans)</v>
          </cell>
          <cell r="D24" t="str">
            <v>segmentation_engineered</v>
          </cell>
          <cell r="E24" t="str">
            <v>K-Means cluster assignment based on standardized feature space</v>
          </cell>
        </row>
        <row r="25">
          <cell r="A25" t="str">
            <v>distance_to_downtown_km</v>
          </cell>
          <cell r="B25" t="str">
            <v>float</v>
          </cell>
          <cell r="C25" t="str">
            <v>engineered (haversine)</v>
          </cell>
          <cell r="D25" t="str">
            <v>geo_engineered</v>
          </cell>
          <cell r="E25" t="str">
            <v>Distance from listing to Chicago CBD in kilometers</v>
          </cell>
        </row>
        <row r="26">
          <cell r="A26" t="str">
            <v>dist_navy_pier_miles</v>
          </cell>
          <cell r="B26" t="str">
            <v>float</v>
          </cell>
          <cell r="C26" t="str">
            <v>engineered</v>
          </cell>
          <cell r="D26" t="str">
            <v>geo_engineered</v>
          </cell>
          <cell r="E26" t="str">
            <v>Distance from listing to Navy Pier in miles</v>
          </cell>
        </row>
        <row r="27">
          <cell r="A27" t="str">
            <v>dist_to_nearest_beach_miles</v>
          </cell>
          <cell r="B27" t="str">
            <v>float</v>
          </cell>
          <cell r="C27" t="str">
            <v>engineered</v>
          </cell>
          <cell r="D27" t="str">
            <v>geo_engineered</v>
          </cell>
          <cell r="E27" t="str">
            <v>Distance from listing to nearest public beach in miles</v>
          </cell>
        </row>
        <row r="28">
          <cell r="A28" t="str">
            <v>is_landmark_proximate</v>
          </cell>
          <cell r="B28" t="str">
            <v>binary</v>
          </cell>
          <cell r="C28" t="str">
            <v>engineered</v>
          </cell>
          <cell r="D28" t="str">
            <v>geo_engineered</v>
          </cell>
          <cell r="E28" t="str">
            <v>1 if listing is proximate to major landmark</v>
          </cell>
        </row>
        <row r="29">
          <cell r="A29" t="str">
            <v>transit_north_premium</v>
          </cell>
          <cell r="B29" t="str">
            <v>float</v>
          </cell>
          <cell r="C29" t="str">
            <v>engineered</v>
          </cell>
          <cell r="D29" t="str">
            <v>geo_engineered</v>
          </cell>
          <cell r="E29" t="str">
            <v>Transit accessibility premium score</v>
          </cell>
        </row>
        <row r="30">
          <cell r="A30" t="str">
            <v>is_premium_transit_hub</v>
          </cell>
          <cell r="B30" t="str">
            <v>binary</v>
          </cell>
          <cell r="C30" t="str">
            <v>engineered</v>
          </cell>
          <cell r="D30" t="str">
            <v>geo_engineered</v>
          </cell>
          <cell r="E30" t="str">
            <v>1 if listing is near premium transit hub</v>
          </cell>
        </row>
        <row r="31">
          <cell r="A31" t="str">
            <v>shoreline_gravity</v>
          </cell>
          <cell r="B31" t="str">
            <v>float</v>
          </cell>
          <cell r="C31" t="str">
            <v>engineered</v>
          </cell>
          <cell r="D31" t="str">
            <v>geo_engineered</v>
          </cell>
          <cell r="E31" t="str">
            <v>Weighted shoreline proximity gravity score</v>
          </cell>
        </row>
        <row r="32">
          <cell r="A32" t="str">
            <v>crime_density_total</v>
          </cell>
          <cell r="B32" t="str">
            <v>float</v>
          </cell>
          <cell r="C32" t="str">
            <v>external crime dataset</v>
          </cell>
          <cell r="D32" t="str">
            <v>geo_engineered</v>
          </cell>
          <cell r="E32" t="str">
            <v>Total crime density near listing</v>
          </cell>
        </row>
        <row r="33">
          <cell r="A33" t="str">
            <v>nb_homicides_half_mile</v>
          </cell>
          <cell r="B33" t="str">
            <v>int</v>
          </cell>
          <cell r="C33" t="str">
            <v>external crime dataset</v>
          </cell>
          <cell r="D33" t="str">
            <v>geo_engineered</v>
          </cell>
          <cell r="E33" t="str">
            <v>Number of homicides within 0.5-mile radius</v>
          </cell>
        </row>
        <row r="34">
          <cell r="A34" t="str">
            <v>neigh_log_competition</v>
          </cell>
          <cell r="B34" t="str">
            <v>float</v>
          </cell>
          <cell r="C34" t="str">
            <v>engineered (group aggregation)</v>
          </cell>
          <cell r="D34" t="str">
            <v>geo_context_engineered</v>
          </cell>
          <cell r="E34" t="str">
            <v>Log-transformed listing density in neighborhood</v>
          </cell>
        </row>
        <row r="35">
          <cell r="A35" t="str">
            <v>neigh_price_index</v>
          </cell>
          <cell r="B35" t="str">
            <v>float</v>
          </cell>
          <cell r="C35" t="str">
            <v>engineered (group aggregation)</v>
          </cell>
          <cell r="D35" t="str">
            <v>geo_context_engineered</v>
          </cell>
          <cell r="E35" t="str">
            <v>Neighborhood median price relative to city median</v>
          </cell>
        </row>
        <row r="36">
          <cell r="A36" t="str">
            <v>price_vs_neigh_median</v>
          </cell>
          <cell r="B36" t="str">
            <v>float</v>
          </cell>
          <cell r="C36" t="str">
            <v>engineered (relative pricing)</v>
          </cell>
          <cell r="D36" t="str">
            <v>geo_context_engineered</v>
          </cell>
          <cell r="E36" t="str">
            <v>Listing price divided by neighborhood median price</v>
          </cell>
        </row>
        <row r="37">
          <cell r="A37" t="str">
            <v>neigh_avg_occ</v>
          </cell>
          <cell r="B37" t="str">
            <v>float</v>
          </cell>
          <cell r="C37" t="str">
            <v>engineered (group aggregation)</v>
          </cell>
          <cell r="D37" t="str">
            <v>geo_context_engineered</v>
          </cell>
          <cell r="E37" t="str">
            <v>Average occupancy proxy of neighborhood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C960-8570-664F-BDFE-4EEFFE4D16A9}">
  <dimension ref="A1:C88"/>
  <sheetViews>
    <sheetView tabSelected="1" workbookViewId="0">
      <selection activeCell="D6" sqref="D6"/>
    </sheetView>
  </sheetViews>
  <sheetFormatPr baseColWidth="10" defaultRowHeight="16" x14ac:dyDescent="0.2"/>
  <cols>
    <col min="1" max="1" width="40" bestFit="1" customWidth="1"/>
  </cols>
  <sheetData>
    <row r="1" spans="1:3" x14ac:dyDescent="0.2">
      <c r="A1" s="3" t="s">
        <v>88</v>
      </c>
      <c r="B1" s="3" t="s">
        <v>89</v>
      </c>
      <c r="C1" s="3" t="s">
        <v>90</v>
      </c>
    </row>
    <row r="2" spans="1:3" x14ac:dyDescent="0.2">
      <c r="A2" t="s">
        <v>0</v>
      </c>
      <c r="B2" t="s">
        <v>93</v>
      </c>
      <c r="C2" t="s">
        <v>95</v>
      </c>
    </row>
    <row r="3" spans="1:3" x14ac:dyDescent="0.2">
      <c r="A3" t="s">
        <v>1</v>
      </c>
      <c r="B3" t="s">
        <v>91</v>
      </c>
      <c r="C3" t="str">
        <f>VLOOKUP(A:A,'[1]Structured Features'!$A:$E,5,FALSE)</f>
        <v>Nightly listing price (USD)</v>
      </c>
    </row>
    <row r="4" spans="1:3" x14ac:dyDescent="0.2">
      <c r="A4" t="s">
        <v>2</v>
      </c>
      <c r="B4" t="s">
        <v>93</v>
      </c>
      <c r="C4" t="str">
        <f>VLOOKUP(A:A,'[1]Structured Features'!$A:$E,5,FALSE)</f>
        <v>Maximum guest capacity</v>
      </c>
    </row>
    <row r="5" spans="1:3" x14ac:dyDescent="0.2">
      <c r="A5" t="s">
        <v>3</v>
      </c>
      <c r="B5" t="s">
        <v>93</v>
      </c>
      <c r="C5" t="str">
        <f>VLOOKUP(A:A,'[1]Structured Features'!$A:$E,5,FALSE)</f>
        <v>Number of bedrooms</v>
      </c>
    </row>
    <row r="6" spans="1:3" x14ac:dyDescent="0.2">
      <c r="A6" t="s">
        <v>4</v>
      </c>
      <c r="B6" t="s">
        <v>91</v>
      </c>
      <c r="C6" t="str">
        <f>VLOOKUP(A:A,'[1]Structured Features'!$A:$E,5,FALSE)</f>
        <v>Number of bathrooms</v>
      </c>
    </row>
    <row r="7" spans="1:3" x14ac:dyDescent="0.2">
      <c r="A7" t="s">
        <v>5</v>
      </c>
      <c r="B7" t="str">
        <f>VLOOKUP(A:A,'[1]Engineered Features'!$A:$B,2,FALSE)</f>
        <v>string</v>
      </c>
      <c r="C7" t="str">
        <f>VLOOKUP(A:A,'[1]Engineered Features'!$A:$E,5,FALSE)</f>
        <v>Original Airbnb room type category</v>
      </c>
    </row>
    <row r="8" spans="1:3" x14ac:dyDescent="0.2">
      <c r="A8" t="s">
        <v>6</v>
      </c>
      <c r="B8" t="str">
        <f>VLOOKUP(A:A,'[1]Engineered Features'!$A:$B,2,FALSE)</f>
        <v>string</v>
      </c>
      <c r="C8" t="str">
        <f>VLOOKUP(A:A,'[1]Engineered Features'!$A:$E,5,FALSE)</f>
        <v>Original Airbnb property type category</v>
      </c>
    </row>
    <row r="9" spans="1:3" x14ac:dyDescent="0.2">
      <c r="A9" t="s">
        <v>7</v>
      </c>
      <c r="B9" t="s">
        <v>91</v>
      </c>
      <c r="C9" t="str">
        <f>VLOOKUP(A:A,'[1]Structured Features'!$A:$E,5,FALSE)</f>
        <v>Overall guest rating</v>
      </c>
    </row>
    <row r="10" spans="1:3" x14ac:dyDescent="0.2">
      <c r="A10" t="s">
        <v>8</v>
      </c>
      <c r="B10" t="str">
        <f>VLOOKUP(A:A,'[1]Engineered Features'!$A:$B,2,FALSE)</f>
        <v>float</v>
      </c>
      <c r="C10" t="str">
        <f>VLOOKUP(A:A,'[1]Engineered Features'!$A:$E,5,FALSE)</f>
        <v>Proxy occupancy rate from availability</v>
      </c>
    </row>
    <row r="11" spans="1:3" x14ac:dyDescent="0.2">
      <c r="A11" t="s">
        <v>9</v>
      </c>
      <c r="B11" t="str">
        <f>VLOOKUP(A:A,'[1]Engineered Features'!$A:$B,2,FALSE)</f>
        <v>float</v>
      </c>
      <c r="C11" t="str">
        <f>VLOOKUP(A:A,'[1]Engineered Features'!$A:$E,5,FALSE)</f>
        <v>Weekend occupancy proxy</v>
      </c>
    </row>
    <row r="12" spans="1:3" x14ac:dyDescent="0.2">
      <c r="A12" t="s">
        <v>10</v>
      </c>
      <c r="B12" t="str">
        <f>VLOOKUP(A:A,'[1]Engineered Features'!$A:$B,2,FALSE)</f>
        <v>float</v>
      </c>
      <c r="C12" t="str">
        <f>VLOOKUP(A:A,'[1]Engineered Features'!$A:$E,5,FALSE)</f>
        <v>Summer occupancy proxy</v>
      </c>
    </row>
    <row r="13" spans="1:3" x14ac:dyDescent="0.2">
      <c r="A13" t="s">
        <v>11</v>
      </c>
      <c r="B13" t="str">
        <f>VLOOKUP(A:A,'[1]Engineered Features'!$A:$B,2,FALSE)</f>
        <v>float</v>
      </c>
      <c r="C13" t="str">
        <f>VLOOKUP(A:A,'[1]Engineered Features'!$A:$E,5,FALSE)</f>
        <v>Winter occupancy proxy</v>
      </c>
    </row>
    <row r="14" spans="1:3" x14ac:dyDescent="0.2">
      <c r="A14" t="s">
        <v>12</v>
      </c>
      <c r="B14" t="str">
        <f>VLOOKUP(A:A,'[1]Engineered Features'!$A:$B,2,FALSE)</f>
        <v>int</v>
      </c>
      <c r="C14" t="str">
        <f>VLOOKUP(A:A,'[1]Engineered Features'!$A:$E,5,FALSE)</f>
        <v>Total number of reviews</v>
      </c>
    </row>
    <row r="15" spans="1:3" x14ac:dyDescent="0.2">
      <c r="A15" t="s">
        <v>13</v>
      </c>
      <c r="B15" t="str">
        <f>VLOOKUP(A:A,'[1]Engineered Features'!$A:$B,2,FALSE)</f>
        <v>int</v>
      </c>
      <c r="C15" t="str">
        <f>VLOOKUP(A:A,'[1]Engineered Features'!$A:$E,5,FALSE)</f>
        <v>Reviews in last 12 months</v>
      </c>
    </row>
    <row r="16" spans="1:3" x14ac:dyDescent="0.2">
      <c r="A16" t="s">
        <v>14</v>
      </c>
      <c r="B16" t="str">
        <f>VLOOKUP(A:A,'[1]Engineered Features'!$A:$B,2,FALSE)</f>
        <v>float</v>
      </c>
      <c r="C16" t="str">
        <f>VLOOKUP(A:A,'[1]Engineered Features'!$A:$E,5,FALSE)</f>
        <v>Average character length of reviews</v>
      </c>
    </row>
    <row r="17" spans="1:3" x14ac:dyDescent="0.2">
      <c r="A17" t="s">
        <v>15</v>
      </c>
      <c r="B17" t="s">
        <v>91</v>
      </c>
      <c r="C17" t="s">
        <v>96</v>
      </c>
    </row>
    <row r="18" spans="1:3" x14ac:dyDescent="0.2">
      <c r="A18" t="s">
        <v>16</v>
      </c>
      <c r="B18" t="s">
        <v>91</v>
      </c>
      <c r="C18" t="s">
        <v>97</v>
      </c>
    </row>
    <row r="19" spans="1:3" x14ac:dyDescent="0.2">
      <c r="A19" t="s">
        <v>17</v>
      </c>
      <c r="B19" t="s">
        <v>94</v>
      </c>
      <c r="C19" t="str">
        <f>VLOOKUP(A:A,'[1]Structured Features'!$A:$E,5,FALSE)</f>
        <v>Host has Superhost status</v>
      </c>
    </row>
    <row r="20" spans="1:3" x14ac:dyDescent="0.2">
      <c r="A20" t="s">
        <v>18</v>
      </c>
      <c r="B20" t="s">
        <v>93</v>
      </c>
      <c r="C20" t="str">
        <f>VLOOKUP(A:A,'[1]Structured Features'!$A:$E,5,FALSE)</f>
        <v>Active listings by host</v>
      </c>
    </row>
    <row r="21" spans="1:3" x14ac:dyDescent="0.2">
      <c r="A21" t="s">
        <v>19</v>
      </c>
      <c r="B21" t="s">
        <v>93</v>
      </c>
      <c r="C21" t="str">
        <f>VLOOKUP(A:A,'[1]Structured Features'!$A:$E,5,FALSE)</f>
        <v>Total listings historically</v>
      </c>
    </row>
    <row r="22" spans="1:3" x14ac:dyDescent="0.2">
      <c r="A22" t="s">
        <v>20</v>
      </c>
      <c r="B22" t="s">
        <v>94</v>
      </c>
      <c r="C22" t="str">
        <f>VLOOKUP(A:A,'[1]Structured Features'!$A:$E,5,FALSE)</f>
        <v>Host profile picture present</v>
      </c>
    </row>
    <row r="23" spans="1:3" x14ac:dyDescent="0.2">
      <c r="A23" t="s">
        <v>21</v>
      </c>
      <c r="B23" t="s">
        <v>94</v>
      </c>
      <c r="C23" t="str">
        <f>VLOOKUP(A:A,'[1]Structured Features'!$A:$E,5,FALSE)</f>
        <v>Host identity verified</v>
      </c>
    </row>
    <row r="24" spans="1:3" x14ac:dyDescent="0.2">
      <c r="A24" t="s">
        <v>22</v>
      </c>
      <c r="B24" t="s">
        <v>92</v>
      </c>
      <c r="C24" t="s">
        <v>99</v>
      </c>
    </row>
    <row r="25" spans="1:3" x14ac:dyDescent="0.2">
      <c r="A25" t="s">
        <v>23</v>
      </c>
      <c r="B25" t="s">
        <v>91</v>
      </c>
      <c r="C25" t="s">
        <v>98</v>
      </c>
    </row>
    <row r="26" spans="1:3" x14ac:dyDescent="0.2">
      <c r="A26" t="s">
        <v>24</v>
      </c>
      <c r="B26" t="s">
        <v>91</v>
      </c>
      <c r="C26" t="s">
        <v>100</v>
      </c>
    </row>
    <row r="27" spans="1:3" x14ac:dyDescent="0.2">
      <c r="A27" t="s">
        <v>25</v>
      </c>
      <c r="B27" t="s">
        <v>93</v>
      </c>
      <c r="C27" t="str">
        <f>VLOOKUP(A:A,'[1]Structured Features'!$A:$E,5,FALSE)</f>
        <v>Number of beds</v>
      </c>
    </row>
    <row r="28" spans="1:3" x14ac:dyDescent="0.2">
      <c r="A28" t="s">
        <v>26</v>
      </c>
      <c r="B28" t="s">
        <v>93</v>
      </c>
      <c r="C28" t="str">
        <f>VLOOKUP(A:A,'[1]Structured Features'!$A:$E,5,FALSE)</f>
        <v>Minimum nights per booking</v>
      </c>
    </row>
    <row r="29" spans="1:3" x14ac:dyDescent="0.2">
      <c r="A29" t="s">
        <v>27</v>
      </c>
      <c r="B29" t="s">
        <v>93</v>
      </c>
      <c r="C29" t="str">
        <f>VLOOKUP(A:A,'[1]Structured Features'!$A:$E,5,FALSE)</f>
        <v>Maximum nights per booking</v>
      </c>
    </row>
    <row r="30" spans="1:3" x14ac:dyDescent="0.2">
      <c r="A30" t="s">
        <v>28</v>
      </c>
      <c r="B30" s="1" t="s">
        <v>94</v>
      </c>
      <c r="C30" t="str">
        <f>VLOOKUP(A:A,'[1]Structured Features'!$A:$E,5,FALSE)</f>
        <v>Whether listing has open availability</v>
      </c>
    </row>
    <row r="31" spans="1:3" x14ac:dyDescent="0.2">
      <c r="A31" t="s">
        <v>29</v>
      </c>
      <c r="B31" t="s">
        <v>93</v>
      </c>
      <c r="C31" t="str">
        <f>VLOOKUP(A:A,'[1]Structured Features'!$A:$E,5,FALSE)</f>
        <v>Available days next 30 days</v>
      </c>
    </row>
    <row r="32" spans="1:3" x14ac:dyDescent="0.2">
      <c r="A32" t="s">
        <v>30</v>
      </c>
      <c r="B32" t="s">
        <v>93</v>
      </c>
      <c r="C32" t="str">
        <f>VLOOKUP(A:A,'[1]Structured Features'!$A:$E,5,FALSE)</f>
        <v>Available days next 365 days</v>
      </c>
    </row>
    <row r="33" spans="1:3" x14ac:dyDescent="0.2">
      <c r="A33" t="s">
        <v>31</v>
      </c>
      <c r="B33" t="s">
        <v>93</v>
      </c>
      <c r="C33" t="str">
        <f>VLOOKUP(A:A,'[1]Structured Features'!$A:$E,5,FALSE)</f>
        <v>Total reviews (snapshot)</v>
      </c>
    </row>
    <row r="34" spans="1:3" x14ac:dyDescent="0.2">
      <c r="A34" t="s">
        <v>32</v>
      </c>
      <c r="B34" t="s">
        <v>93</v>
      </c>
      <c r="C34" t="str">
        <f>VLOOKUP(A:A,'[1]Structured Features'!$A:$E,5,FALSE)</f>
        <v>Reviews last 12 months</v>
      </c>
    </row>
    <row r="35" spans="1:3" x14ac:dyDescent="0.2">
      <c r="A35" t="s">
        <v>33</v>
      </c>
      <c r="B35" t="s">
        <v>93</v>
      </c>
      <c r="C35" t="str">
        <f>VLOOKUP(A:A,'[1]Structured Features'!$A:$E,5,FALSE)</f>
        <v>Reviews last 30 days</v>
      </c>
    </row>
    <row r="36" spans="1:3" x14ac:dyDescent="0.2">
      <c r="A36" t="s">
        <v>34</v>
      </c>
      <c r="B36" t="s">
        <v>93</v>
      </c>
      <c r="C36" t="str">
        <f>VLOOKUP(A:A,'[1]Structured Features'!$A:$E,5,FALSE)</f>
        <v>Reviews last year</v>
      </c>
    </row>
    <row r="37" spans="1:3" x14ac:dyDescent="0.2">
      <c r="A37" t="s">
        <v>35</v>
      </c>
      <c r="B37" t="s">
        <v>91</v>
      </c>
      <c r="C37" t="str">
        <f>VLOOKUP(A:A,'[1]Structured Features'!$A:$E,5,FALSE)</f>
        <v>Accuracy rating</v>
      </c>
    </row>
    <row r="38" spans="1:3" x14ac:dyDescent="0.2">
      <c r="A38" t="s">
        <v>36</v>
      </c>
      <c r="B38" t="s">
        <v>91</v>
      </c>
      <c r="C38" t="str">
        <f>VLOOKUP(A:A,'[1]Structured Features'!$A:$E,5,FALSE)</f>
        <v>Cleanliness rating</v>
      </c>
    </row>
    <row r="39" spans="1:3" x14ac:dyDescent="0.2">
      <c r="A39" t="s">
        <v>37</v>
      </c>
      <c r="B39" t="s">
        <v>91</v>
      </c>
      <c r="C39" t="str">
        <f>VLOOKUP(A:A,'[1]Structured Features'!$A:$E,5,FALSE)</f>
        <v>Check-in rating</v>
      </c>
    </row>
    <row r="40" spans="1:3" x14ac:dyDescent="0.2">
      <c r="A40" t="s">
        <v>38</v>
      </c>
      <c r="B40" t="s">
        <v>91</v>
      </c>
      <c r="C40" t="str">
        <f>VLOOKUP(A:A,'[1]Structured Features'!$A:$E,5,FALSE)</f>
        <v>Communication rating</v>
      </c>
    </row>
    <row r="41" spans="1:3" x14ac:dyDescent="0.2">
      <c r="A41" t="s">
        <v>39</v>
      </c>
      <c r="B41" t="s">
        <v>91</v>
      </c>
      <c r="C41" t="str">
        <f>VLOOKUP(A:A,'[1]Structured Features'!$A:$E,5,FALSE)</f>
        <v>Location rating</v>
      </c>
    </row>
    <row r="42" spans="1:3" x14ac:dyDescent="0.2">
      <c r="A42" t="s">
        <v>40</v>
      </c>
      <c r="B42" t="s">
        <v>91</v>
      </c>
      <c r="C42" t="str">
        <f>VLOOKUP(A:A,'[1]Structured Features'!$A:$E,5,FALSE)</f>
        <v>Value rating</v>
      </c>
    </row>
    <row r="43" spans="1:3" x14ac:dyDescent="0.2">
      <c r="A43" t="s">
        <v>41</v>
      </c>
      <c r="B43" t="s">
        <v>94</v>
      </c>
      <c r="C43" t="str">
        <f>VLOOKUP(A:A,'[1]Structured Features'!$A:$E,5,FALSE)</f>
        <v>Instant booking available</v>
      </c>
    </row>
    <row r="44" spans="1:3" x14ac:dyDescent="0.2">
      <c r="A44" t="s">
        <v>42</v>
      </c>
      <c r="B44" t="s">
        <v>93</v>
      </c>
      <c r="C44" t="str">
        <f>VLOOKUP(A:A,'[1]Structured Features'!$A:$E,5,FALSE)</f>
        <v>Calculated listing count per host</v>
      </c>
    </row>
    <row r="45" spans="1:3" x14ac:dyDescent="0.2">
      <c r="A45" t="s">
        <v>43</v>
      </c>
      <c r="B45" t="s">
        <v>91</v>
      </c>
      <c r="C45" t="str">
        <f>VLOOKUP(A:A,'[1]Structured Features'!$A:$E,5,FALSE)</f>
        <v>Avg reviews per month</v>
      </c>
    </row>
    <row r="46" spans="1:3" x14ac:dyDescent="0.2">
      <c r="A46" t="s">
        <v>44</v>
      </c>
      <c r="B46" t="str">
        <f>VLOOKUP(A:A,'[1]Engineered Features'!$A:$B,2,FALSE)</f>
        <v>binary</v>
      </c>
      <c r="C46" t="str">
        <f>VLOOKUP(A:A,'[1]Engineered Features'!$A:$E,5,FALSE)</f>
        <v>1 if listing is hotel room</v>
      </c>
    </row>
    <row r="47" spans="1:3" x14ac:dyDescent="0.2">
      <c r="A47" t="s">
        <v>45</v>
      </c>
      <c r="B47" t="str">
        <f>VLOOKUP(A:A,'[1]Engineered Features'!$A:$B,2,FALSE)</f>
        <v>binary</v>
      </c>
      <c r="C47" t="str">
        <f>VLOOKUP(A:A,'[1]Engineered Features'!$A:$E,5,FALSE)</f>
        <v>1 if listing is private room</v>
      </c>
    </row>
    <row r="48" spans="1:3" x14ac:dyDescent="0.2">
      <c r="A48" t="s">
        <v>46</v>
      </c>
      <c r="B48" t="str">
        <f>VLOOKUP(A:A,'[1]Engineered Features'!$A:$B,2,FALSE)</f>
        <v>binary</v>
      </c>
      <c r="C48" t="str">
        <f>VLOOKUP(A:A,'[1]Engineered Features'!$A:$E,5,FALSE)</f>
        <v>1 if listing is shared room</v>
      </c>
    </row>
    <row r="49" spans="1:3" x14ac:dyDescent="0.2">
      <c r="A49" t="s">
        <v>47</v>
      </c>
      <c r="B49" t="str">
        <f>VLOOKUP(A:A,'[1]Engineered Features'!$A:$B,2,FALSE)</f>
        <v>binary</v>
      </c>
      <c r="C49" t="str">
        <f>VLOOKUP(A:A,'[1]Engineered Features'!$A:$E,5,FALSE)</f>
        <v>1 if listing is entire home</v>
      </c>
    </row>
    <row r="50" spans="1:3" x14ac:dyDescent="0.2">
      <c r="A50" t="s">
        <v>48</v>
      </c>
      <c r="B50" t="str">
        <f>VLOOKUP(A:A,'[1]Engineered Features'!$A:$B,2,FALSE)</f>
        <v>binary</v>
      </c>
      <c r="C50" t="str">
        <f>VLOOKUP(A:A,'[1]Engineered Features'!$A:$E,5,FALSE)</f>
        <v>1 if listing is entire rental unit</v>
      </c>
    </row>
    <row r="51" spans="1:3" x14ac:dyDescent="0.2">
      <c r="A51" t="s">
        <v>49</v>
      </c>
      <c r="B51" t="str">
        <f>VLOOKUP(A:A,'[1]Engineered Features'!$A:$B,2,FALSE)</f>
        <v>binary</v>
      </c>
      <c r="C51" t="str">
        <f>VLOOKUP(A:A,'[1]Engineered Features'!$A:$E,5,FALSE)</f>
        <v>1 if listing is other property type</v>
      </c>
    </row>
    <row r="52" spans="1:3" x14ac:dyDescent="0.2">
      <c r="A52" t="s">
        <v>50</v>
      </c>
      <c r="B52" t="str">
        <f>VLOOKUP(A:A,'[1]Engineered Features'!$A:$B,2,FALSE)</f>
        <v>binary</v>
      </c>
      <c r="C52" t="str">
        <f>VLOOKUP(A:A,'[1]Engineered Features'!$A:$E,5,FALSE)</f>
        <v>1 if listing is private room in home</v>
      </c>
    </row>
    <row r="53" spans="1:3" x14ac:dyDescent="0.2">
      <c r="A53" t="s">
        <v>51</v>
      </c>
      <c r="B53" t="str">
        <f>VLOOKUP(A:A,'[1]Engineered Features'!$A:$B,2,FALSE)</f>
        <v>binary</v>
      </c>
      <c r="C53" t="str">
        <f>VLOOKUP(A:A,'[1]Engineered Features'!$A:$E,5,FALSE)</f>
        <v>1 if listing is private room in rental unit</v>
      </c>
    </row>
    <row r="54" spans="1:3" x14ac:dyDescent="0.2">
      <c r="A54" t="s">
        <v>52</v>
      </c>
      <c r="B54" t="str">
        <f>VLOOKUP(A:A,'[1]Engineered Features'!$A:$B,2,FALSE)</f>
        <v>float</v>
      </c>
      <c r="C54" t="str">
        <f>VLOOKUP(A:A,'[1]Engineered Features'!$A:$E,5,FALSE)</f>
        <v>First principal component of amenity feature space</v>
      </c>
    </row>
    <row r="55" spans="1:3" x14ac:dyDescent="0.2">
      <c r="A55" t="s">
        <v>53</v>
      </c>
      <c r="B55" t="str">
        <f>VLOOKUP(A:A,'[1]Engineered Features'!$A:$B,2,FALSE)</f>
        <v>float</v>
      </c>
      <c r="C55" t="str">
        <f>VLOOKUP(A:A,'[1]Engineered Features'!$A:$E,5,FALSE)</f>
        <v>Second principal component of amenity feature space</v>
      </c>
    </row>
    <row r="56" spans="1:3" x14ac:dyDescent="0.2">
      <c r="A56" t="s">
        <v>54</v>
      </c>
      <c r="B56" t="str">
        <f>VLOOKUP(A:A,'[1]Engineered Features'!$A:$B,2,FALSE)</f>
        <v>float</v>
      </c>
      <c r="C56" t="str">
        <f>VLOOKUP(A:A,'[1]Engineered Features'!$A:$E,5,FALSE)</f>
        <v>Third principal component of amenity feature space</v>
      </c>
    </row>
    <row r="57" spans="1:3" x14ac:dyDescent="0.2">
      <c r="A57" t="s">
        <v>55</v>
      </c>
      <c r="B57" t="str">
        <f>VLOOKUP(A:A,'[1]Engineered Features'!$A:$B,2,FALSE)</f>
        <v>float</v>
      </c>
      <c r="C57" t="str">
        <f>VLOOKUP(A:A,'[1]Engineered Features'!$A:$E,5,FALSE)</f>
        <v>Fourth principal component of amenity feature space</v>
      </c>
    </row>
    <row r="58" spans="1:3" x14ac:dyDescent="0.2">
      <c r="A58" t="s">
        <v>56</v>
      </c>
      <c r="B58" t="str">
        <f>VLOOKUP(A:A,'[1]Engineered Features'!$A:$B,2,FALSE)</f>
        <v>float</v>
      </c>
      <c r="C58" t="str">
        <f>VLOOKUP(A:A,'[1]Engineered Features'!$A:$E,5,FALSE)</f>
        <v>Fifth principal component of amenity feature space</v>
      </c>
    </row>
    <row r="59" spans="1:3" x14ac:dyDescent="0.2">
      <c r="A59" t="s">
        <v>57</v>
      </c>
      <c r="B59" t="str">
        <f>VLOOKUP(A:A,'[1]Engineered Features'!$A:$B,2,FALSE)</f>
        <v>int</v>
      </c>
      <c r="C59" t="str">
        <f>VLOOKUP(A:A,'[1]Engineered Features'!$A:$E,5,FALSE)</f>
        <v>K-Means cluster assignment based on standardized feature space</v>
      </c>
    </row>
    <row r="60" spans="1:3" x14ac:dyDescent="0.2">
      <c r="A60" t="s">
        <v>58</v>
      </c>
      <c r="B60" t="str">
        <f>VLOOKUP(A:A,'[1]Engineered Features'!$A:$B,2,FALSE)</f>
        <v>float</v>
      </c>
      <c r="C60" t="str">
        <f>VLOOKUP(A:A,'[1]Engineered Features'!$A:$E,5,FALSE)</f>
        <v>Distance from listing to Navy Pier in miles</v>
      </c>
    </row>
    <row r="61" spans="1:3" x14ac:dyDescent="0.2">
      <c r="A61" t="s">
        <v>59</v>
      </c>
      <c r="B61" t="str">
        <f>VLOOKUP(A:A,'[1]Engineered Features'!$A:$B,2,FALSE)</f>
        <v>binary</v>
      </c>
      <c r="C61" t="str">
        <f>VLOOKUP(A:A,'[1]Engineered Features'!$A:$E,5,FALSE)</f>
        <v>1 if listing is proximate to major landmark</v>
      </c>
    </row>
    <row r="62" spans="1:3" x14ac:dyDescent="0.2">
      <c r="A62" t="s">
        <v>60</v>
      </c>
      <c r="B62" t="str">
        <f>VLOOKUP(A:A,'[1]Engineered Features'!$A:$B,2,FALSE)</f>
        <v>float</v>
      </c>
      <c r="C62" t="str">
        <f>VLOOKUP(A:A,'[1]Engineered Features'!$A:$E,5,FALSE)</f>
        <v>Transit accessibility premium score</v>
      </c>
    </row>
    <row r="63" spans="1:3" x14ac:dyDescent="0.2">
      <c r="A63" t="s">
        <v>61</v>
      </c>
      <c r="B63" t="str">
        <f>VLOOKUP(A:A,'[1]Engineered Features'!$A:$B,2,FALSE)</f>
        <v>binary</v>
      </c>
      <c r="C63" t="str">
        <f>VLOOKUP(A:A,'[1]Engineered Features'!$A:$E,5,FALSE)</f>
        <v>1 if listing is near premium transit hub</v>
      </c>
    </row>
    <row r="64" spans="1:3" x14ac:dyDescent="0.2">
      <c r="A64" t="s">
        <v>62</v>
      </c>
      <c r="B64" t="str">
        <f>VLOOKUP(A:A,'[1]Engineered Features'!$A:$B,2,FALSE)</f>
        <v>float</v>
      </c>
      <c r="C64" t="str">
        <f>VLOOKUP(A:A,'[1]Engineered Features'!$A:$E,5,FALSE)</f>
        <v>Weighted shoreline proximity gravity score</v>
      </c>
    </row>
    <row r="65" spans="1:3" x14ac:dyDescent="0.2">
      <c r="A65" t="s">
        <v>63</v>
      </c>
      <c r="B65" t="str">
        <f>VLOOKUP(A:A,'[1]Engineered Features'!$A:$B,2,FALSE)</f>
        <v>float</v>
      </c>
      <c r="C65" t="str">
        <f>VLOOKUP(A:A,'[1]Engineered Features'!$A:$E,5,FALSE)</f>
        <v>Distance from listing to nearest public beach in miles</v>
      </c>
    </row>
    <row r="66" spans="1:3" x14ac:dyDescent="0.2">
      <c r="A66" t="s">
        <v>64</v>
      </c>
      <c r="B66" t="str">
        <f>VLOOKUP(A:A,'[1]Engineered Features'!$A:$B,2,FALSE)</f>
        <v>float</v>
      </c>
      <c r="C66" t="str">
        <f>VLOOKUP(A:A,'[1]Engineered Features'!$A:$E,5,FALSE)</f>
        <v>Total crime density near listing</v>
      </c>
    </row>
    <row r="67" spans="1:3" x14ac:dyDescent="0.2">
      <c r="A67" t="s">
        <v>65</v>
      </c>
      <c r="B67" t="str">
        <f>VLOOKUP(A:A,'[1]Engineered Features'!$A:$B,2,FALSE)</f>
        <v>int</v>
      </c>
      <c r="C67" t="str">
        <f>VLOOKUP(A:A,'[1]Engineered Features'!$A:$E,5,FALSE)</f>
        <v>Number of homicides within 0.5-mile radius</v>
      </c>
    </row>
    <row r="68" spans="1:3" x14ac:dyDescent="0.2">
      <c r="A68" t="s">
        <v>66</v>
      </c>
      <c r="B68" t="str">
        <f>VLOOKUP(A:A,'[1]Engineered Features'!$A:$B,2,FALSE)</f>
        <v>float</v>
      </c>
      <c r="C68" t="str">
        <f>VLOOKUP(A:A,'[1]Engineered Features'!$A:$E,5,FALSE)</f>
        <v>Log-transformed listing density in neighborhood</v>
      </c>
    </row>
    <row r="69" spans="1:3" x14ac:dyDescent="0.2">
      <c r="A69" t="s">
        <v>67</v>
      </c>
      <c r="B69" t="str">
        <f>VLOOKUP(A:A,'[1]Engineered Features'!$A:$B,2,FALSE)</f>
        <v>float</v>
      </c>
      <c r="C69" t="str">
        <f>VLOOKUP(A:A,'[1]Engineered Features'!$A:$E,5,FALSE)</f>
        <v>Neighborhood median price relative to city median</v>
      </c>
    </row>
    <row r="70" spans="1:3" x14ac:dyDescent="0.2">
      <c r="A70" t="s">
        <v>68</v>
      </c>
      <c r="B70" t="str">
        <f>VLOOKUP(A:A,'[1]Engineered Features'!$A:$B,2,FALSE)</f>
        <v>float</v>
      </c>
      <c r="C70" t="str">
        <f>VLOOKUP(A:A,'[1]Engineered Features'!$A:$E,5,FALSE)</f>
        <v>Listing price divided by neighborhood median price</v>
      </c>
    </row>
    <row r="71" spans="1:3" x14ac:dyDescent="0.2">
      <c r="A71" t="s">
        <v>69</v>
      </c>
      <c r="B71" t="str">
        <f>VLOOKUP(A:A,'[1]Engineered Features'!$A:$B,2,FALSE)</f>
        <v>float</v>
      </c>
      <c r="C71" t="str">
        <f>VLOOKUP(A:A,'[1]Engineered Features'!$A:$E,5,FALSE)</f>
        <v>Distance from listing to Chicago CBD in kilometers</v>
      </c>
    </row>
    <row r="72" spans="1:3" x14ac:dyDescent="0.2">
      <c r="A72" t="s">
        <v>70</v>
      </c>
      <c r="B72" t="str">
        <f>VLOOKUP(A:A,'[1]Engineered Features'!$A:$B,2,FALSE)</f>
        <v>float</v>
      </c>
      <c r="C72" t="str">
        <f>VLOOKUP(A:A,'[1]Engineered Features'!$A:$E,5,FALSE)</f>
        <v>Average occupancy proxy of neighborhood</v>
      </c>
    </row>
    <row r="73" spans="1:3" x14ac:dyDescent="0.2">
      <c r="A73" t="s">
        <v>71</v>
      </c>
      <c r="B73" t="s">
        <v>91</v>
      </c>
      <c r="C73" s="2" t="s">
        <v>87</v>
      </c>
    </row>
    <row r="74" spans="1:3" x14ac:dyDescent="0.2">
      <c r="A74" t="s">
        <v>72</v>
      </c>
      <c r="B74" t="s">
        <v>91</v>
      </c>
      <c r="C74" s="2" t="s">
        <v>101</v>
      </c>
    </row>
    <row r="75" spans="1:3" x14ac:dyDescent="0.2">
      <c r="A75" t="s">
        <v>73</v>
      </c>
      <c r="B75" t="s">
        <v>91</v>
      </c>
      <c r="C75" s="2" t="s">
        <v>102</v>
      </c>
    </row>
    <row r="76" spans="1:3" x14ac:dyDescent="0.2">
      <c r="A76" t="s">
        <v>74</v>
      </c>
      <c r="B76" t="s">
        <v>91</v>
      </c>
      <c r="C76" s="2" t="s">
        <v>103</v>
      </c>
    </row>
    <row r="77" spans="1:3" x14ac:dyDescent="0.2">
      <c r="A77" t="s">
        <v>75</v>
      </c>
      <c r="B77" t="s">
        <v>91</v>
      </c>
      <c r="C77" s="2" t="s">
        <v>104</v>
      </c>
    </row>
    <row r="78" spans="1:3" x14ac:dyDescent="0.2">
      <c r="A78" t="s">
        <v>76</v>
      </c>
      <c r="B78" t="s">
        <v>91</v>
      </c>
      <c r="C78" s="2" t="s">
        <v>105</v>
      </c>
    </row>
    <row r="79" spans="1:3" x14ac:dyDescent="0.2">
      <c r="A79" t="s">
        <v>77</v>
      </c>
      <c r="B79" t="s">
        <v>91</v>
      </c>
      <c r="C79" s="2" t="s">
        <v>106</v>
      </c>
    </row>
    <row r="80" spans="1:3" x14ac:dyDescent="0.2">
      <c r="A80" t="s">
        <v>78</v>
      </c>
      <c r="B80" t="s">
        <v>91</v>
      </c>
      <c r="C80" s="2" t="s">
        <v>107</v>
      </c>
    </row>
    <row r="81" spans="1:3" x14ac:dyDescent="0.2">
      <c r="A81" t="s">
        <v>79</v>
      </c>
      <c r="B81" t="s">
        <v>91</v>
      </c>
      <c r="C81" t="s">
        <v>108</v>
      </c>
    </row>
    <row r="82" spans="1:3" x14ac:dyDescent="0.2">
      <c r="A82" t="s">
        <v>80</v>
      </c>
      <c r="B82" t="s">
        <v>91</v>
      </c>
      <c r="C82" t="s">
        <v>108</v>
      </c>
    </row>
    <row r="83" spans="1:3" x14ac:dyDescent="0.2">
      <c r="A83" t="s">
        <v>81</v>
      </c>
      <c r="B83" t="s">
        <v>91</v>
      </c>
      <c r="C83" t="s">
        <v>108</v>
      </c>
    </row>
    <row r="84" spans="1:3" x14ac:dyDescent="0.2">
      <c r="A84" t="s">
        <v>82</v>
      </c>
      <c r="B84" t="s">
        <v>91</v>
      </c>
      <c r="C84" t="s">
        <v>108</v>
      </c>
    </row>
    <row r="85" spans="1:3" x14ac:dyDescent="0.2">
      <c r="A85" t="s">
        <v>83</v>
      </c>
      <c r="B85" t="s">
        <v>91</v>
      </c>
      <c r="C85" t="s">
        <v>108</v>
      </c>
    </row>
    <row r="86" spans="1:3" x14ac:dyDescent="0.2">
      <c r="A86" t="s">
        <v>84</v>
      </c>
      <c r="B86" t="s">
        <v>91</v>
      </c>
      <c r="C86" t="s">
        <v>108</v>
      </c>
    </row>
    <row r="87" spans="1:3" x14ac:dyDescent="0.2">
      <c r="A87" t="s">
        <v>85</v>
      </c>
      <c r="B87" t="s">
        <v>91</v>
      </c>
      <c r="C87" t="s">
        <v>108</v>
      </c>
    </row>
    <row r="88" spans="1:3" x14ac:dyDescent="0.2">
      <c r="A88" t="s">
        <v>86</v>
      </c>
      <c r="B88" t="s">
        <v>91</v>
      </c>
      <c r="C88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satan haha</dc:creator>
  <cp:lastModifiedBy>satan haha</cp:lastModifiedBy>
  <dcterms:created xsi:type="dcterms:W3CDTF">2026-03-09T06:05:48Z</dcterms:created>
  <dcterms:modified xsi:type="dcterms:W3CDTF">2026-03-09T06:35:11Z</dcterms:modified>
</cp:coreProperties>
</file>